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3558352\Desktop\"/>
    </mc:Choice>
  </mc:AlternateContent>
  <bookViews>
    <workbookView xWindow="0" yWindow="0" windowWidth="14370" windowHeight="12270"/>
  </bookViews>
  <sheets>
    <sheet name="APRIL 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" i="1" l="1"/>
  <c r="I5" i="1" s="1"/>
  <c r="J5" i="1"/>
  <c r="K4" i="1"/>
  <c r="I4" i="1" s="1"/>
  <c r="J4" i="1"/>
  <c r="K3" i="1"/>
  <c r="I3" i="1" s="1"/>
  <c r="J3" i="1"/>
  <c r="K2" i="1"/>
  <c r="J2" i="1"/>
  <c r="I2" i="1"/>
</calcChain>
</file>

<file path=xl/sharedStrings.xml><?xml version="1.0" encoding="utf-8"?>
<sst xmlns="http://schemas.openxmlformats.org/spreadsheetml/2006/main" count="31" uniqueCount="27">
  <si>
    <t>S/N</t>
  </si>
  <si>
    <t>PO NO.</t>
  </si>
  <si>
    <t>Bank Name</t>
  </si>
  <si>
    <t>BANK GURANTEE NUMBER</t>
  </si>
  <si>
    <t xml:space="preserve">SUPPLIER </t>
  </si>
  <si>
    <t>Type</t>
  </si>
  <si>
    <t xml:space="preserve">BG AMOUNT </t>
  </si>
  <si>
    <t xml:space="preserve">BG EXPIRY DATE </t>
  </si>
  <si>
    <t>Valid Days</t>
  </si>
  <si>
    <t>RENEWAL DATE</t>
  </si>
  <si>
    <t>TODAY</t>
  </si>
  <si>
    <t>PO-26</t>
  </si>
  <si>
    <t>ANB</t>
  </si>
  <si>
    <t>OG/CC052442</t>
  </si>
  <si>
    <t>شركة ريم الوسط للتجارة</t>
  </si>
  <si>
    <t>Final</t>
  </si>
  <si>
    <t>PO-34</t>
  </si>
  <si>
    <t>OG/CC049745</t>
  </si>
  <si>
    <t>شركة الحياة الطبية</t>
  </si>
  <si>
    <t>PO-182</t>
  </si>
  <si>
    <t>Banque Saudi Fransi</t>
  </si>
  <si>
    <t>ج094078</t>
  </si>
  <si>
    <t>شركة الخليج الطبية المحدودة</t>
  </si>
  <si>
    <t>PO-51</t>
  </si>
  <si>
    <t>Riyad Bank</t>
  </si>
  <si>
    <t>JLG6704890</t>
  </si>
  <si>
    <t>GULF HORIZON INTERNATIONAL MEDICAL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</si>
</sst>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dd\-mmm\-yy;@"/>
    <numFmt numFmtId="165" formatCode="00000"/>
    <numFmt numFmtId="166" formatCode="0_);[Red]\(0\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164" fontId="0" fillId="0" borderId="1" xfId="0" applyNumberFormat="1" applyFill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tabSelected="1" workbookViewId="0">
      <selection activeCell="I9" sqref="I9"/>
    </sheetView>
  </sheetViews>
  <sheetFormatPr defaultRowHeight="15" x14ac:dyDescent="0.25"/>
  <cols>
    <col min="2" max="2" width="7.42578125" bestFit="1" customWidth="1"/>
    <col min="3" max="3" width="19" bestFit="1" customWidth="1"/>
    <col min="4" max="4" width="25" bestFit="1" customWidth="1"/>
    <col min="5" max="5" width="38.28515625" bestFit="1" customWidth="1"/>
    <col min="7" max="7" width="12.85546875" bestFit="1" customWidth="1"/>
    <col min="8" max="8" width="15.7109375" bestFit="1" customWidth="1"/>
    <col min="9" max="9" width="10.140625" bestFit="1" customWidth="1"/>
    <col min="10" max="10" width="14.85546875" bestFit="1" customWidth="1"/>
    <col min="11" max="11" width="9.5703125" bestFit="1" customWidth="1"/>
  </cols>
  <sheetData>
    <row r="1" spans="1:11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2" t="s">
        <v>8</v>
      </c>
      <c r="J1" s="2" t="s">
        <v>9</v>
      </c>
      <c r="K1" s="3" t="s">
        <v>10</v>
      </c>
    </row>
    <row r="2" spans="1:11" x14ac:dyDescent="0.25">
      <c r="A2" s="4" t="s">
        <v>11</v>
      </c>
      <c r="B2" s="5">
        <v>426853</v>
      </c>
      <c r="C2" s="6" t="s">
        <v>12</v>
      </c>
      <c r="D2" s="6" t="s">
        <v>13</v>
      </c>
      <c r="E2" s="7" t="s">
        <v>14</v>
      </c>
      <c r="F2" s="7" t="s">
        <v>15</v>
      </c>
      <c r="G2" s="8">
        <v>25740</v>
      </c>
      <c r="H2" s="9">
        <v>45756</v>
      </c>
      <c r="I2" s="10">
        <f t="shared" ref="I2:I5" ca="1" si="0">H2-K2</f>
        <v>1.418172337966098</v>
      </c>
      <c r="J2" s="11">
        <f t="shared" ref="J2:J5" si="1">H2-60</f>
        <v>45696</v>
      </c>
      <c r="K2" s="11">
        <f t="shared" ref="K2:K3" ca="1" si="2">NOW()</f>
        <v>45754.581827662034</v>
      </c>
    </row>
    <row r="3" spans="1:11" x14ac:dyDescent="0.25">
      <c r="A3" s="4" t="s">
        <v>16</v>
      </c>
      <c r="B3" s="5">
        <v>423889</v>
      </c>
      <c r="C3" s="6" t="s">
        <v>12</v>
      </c>
      <c r="D3" s="6" t="s">
        <v>17</v>
      </c>
      <c r="E3" s="7" t="s">
        <v>18</v>
      </c>
      <c r="F3" s="7" t="s">
        <v>15</v>
      </c>
      <c r="G3" s="8">
        <v>22224</v>
      </c>
      <c r="H3" s="9">
        <v>45757</v>
      </c>
      <c r="I3" s="10">
        <f t="shared" ca="1" si="0"/>
        <v>2.418172337966098</v>
      </c>
      <c r="J3" s="11">
        <f t="shared" si="1"/>
        <v>45697</v>
      </c>
      <c r="K3" s="11">
        <f t="shared" ca="1" si="2"/>
        <v>45754.581827662034</v>
      </c>
    </row>
    <row r="4" spans="1:11" x14ac:dyDescent="0.25">
      <c r="A4" s="4" t="s">
        <v>19</v>
      </c>
      <c r="B4" s="5">
        <v>428398</v>
      </c>
      <c r="C4" s="6" t="s">
        <v>20</v>
      </c>
      <c r="D4" s="6" t="s">
        <v>21</v>
      </c>
      <c r="E4" s="7" t="s">
        <v>22</v>
      </c>
      <c r="F4" s="7" t="s">
        <v>15</v>
      </c>
      <c r="G4" s="8">
        <v>19200</v>
      </c>
      <c r="H4" s="9">
        <v>45757</v>
      </c>
      <c r="I4" s="10">
        <f t="shared" ca="1" si="0"/>
        <v>2.418172337966098</v>
      </c>
      <c r="J4" s="11">
        <f t="shared" si="1"/>
        <v>45697</v>
      </c>
      <c r="K4" s="11">
        <f ca="1">NOW()</f>
        <v>45754.581827662034</v>
      </c>
    </row>
    <row r="5" spans="1:11" x14ac:dyDescent="0.25">
      <c r="A5" s="4" t="s">
        <v>23</v>
      </c>
      <c r="B5" s="5">
        <v>426304</v>
      </c>
      <c r="C5" s="6" t="s">
        <v>24</v>
      </c>
      <c r="D5" s="6" t="s">
        <v>25</v>
      </c>
      <c r="E5" s="7" t="s">
        <v>26</v>
      </c>
      <c r="F5" s="7" t="s">
        <v>15</v>
      </c>
      <c r="G5" s="8">
        <v>150000</v>
      </c>
      <c r="H5" s="9">
        <v>45763</v>
      </c>
      <c r="I5" s="10">
        <f t="shared" ca="1" si="0"/>
        <v>8.418172337966098</v>
      </c>
      <c r="J5" s="11">
        <f t="shared" si="1"/>
        <v>45703</v>
      </c>
      <c r="K5" s="11">
        <f t="shared" ref="K5" ca="1" si="3">NOW()</f>
        <v>45754.581827662034</v>
      </c>
    </row>
  </sheetData>
  <conditionalFormatting sqref="A1">
    <cfRule type="duplicateValues" dxfId="30" priority="31"/>
  </conditionalFormatting>
  <conditionalFormatting sqref="I1">
    <cfRule type="cellIs" dxfId="29" priority="30" operator="lessThan">
      <formula>0</formula>
    </cfRule>
  </conditionalFormatting>
  <conditionalFormatting sqref="D1">
    <cfRule type="duplicateValues" dxfId="28" priority="29"/>
  </conditionalFormatting>
  <conditionalFormatting sqref="B1">
    <cfRule type="duplicateValues" dxfId="27" priority="28"/>
  </conditionalFormatting>
  <conditionalFormatting sqref="D1">
    <cfRule type="duplicateValues" dxfId="26" priority="27"/>
  </conditionalFormatting>
  <conditionalFormatting sqref="D1">
    <cfRule type="duplicateValues" dxfId="25" priority="26"/>
  </conditionalFormatting>
  <conditionalFormatting sqref="B1">
    <cfRule type="duplicateValues" dxfId="24" priority="25"/>
  </conditionalFormatting>
  <conditionalFormatting sqref="I2">
    <cfRule type="cellIs" dxfId="23" priority="24" operator="lessThan">
      <formula>0</formula>
    </cfRule>
  </conditionalFormatting>
  <conditionalFormatting sqref="D2">
    <cfRule type="duplicateValues" dxfId="22" priority="23"/>
  </conditionalFormatting>
  <conditionalFormatting sqref="B2">
    <cfRule type="duplicateValues" dxfId="21" priority="22"/>
  </conditionalFormatting>
  <conditionalFormatting sqref="D2">
    <cfRule type="duplicateValues" dxfId="20" priority="21"/>
  </conditionalFormatting>
  <conditionalFormatting sqref="B2">
    <cfRule type="duplicateValues" dxfId="19" priority="20"/>
  </conditionalFormatting>
  <conditionalFormatting sqref="D2">
    <cfRule type="duplicateValues" dxfId="18" priority="19"/>
  </conditionalFormatting>
  <conditionalFormatting sqref="I3">
    <cfRule type="cellIs" dxfId="17" priority="18" operator="lessThan">
      <formula>0</formula>
    </cfRule>
  </conditionalFormatting>
  <conditionalFormatting sqref="D3">
    <cfRule type="duplicateValues" dxfId="16" priority="17"/>
  </conditionalFormatting>
  <conditionalFormatting sqref="B3">
    <cfRule type="duplicateValues" dxfId="15" priority="16"/>
  </conditionalFormatting>
  <conditionalFormatting sqref="D3">
    <cfRule type="duplicateValues" dxfId="14" priority="15"/>
  </conditionalFormatting>
  <conditionalFormatting sqref="B3">
    <cfRule type="duplicateValues" dxfId="13" priority="14"/>
  </conditionalFormatting>
  <conditionalFormatting sqref="D3">
    <cfRule type="duplicateValues" dxfId="12" priority="13"/>
  </conditionalFormatting>
  <conditionalFormatting sqref="I4">
    <cfRule type="cellIs" dxfId="11" priority="12" operator="lessThan">
      <formula>0</formula>
    </cfRule>
  </conditionalFormatting>
  <conditionalFormatting sqref="D4">
    <cfRule type="duplicateValues" dxfId="10" priority="11"/>
  </conditionalFormatting>
  <conditionalFormatting sqref="B4">
    <cfRule type="duplicateValues" dxfId="9" priority="10"/>
  </conditionalFormatting>
  <conditionalFormatting sqref="D4">
    <cfRule type="duplicateValues" dxfId="8" priority="9"/>
  </conditionalFormatting>
  <conditionalFormatting sqref="B4">
    <cfRule type="duplicateValues" dxfId="7" priority="8"/>
  </conditionalFormatting>
  <conditionalFormatting sqref="D4">
    <cfRule type="duplicateValues" dxfId="6" priority="7"/>
  </conditionalFormatting>
  <conditionalFormatting sqref="I5">
    <cfRule type="cellIs" dxfId="5" priority="6" operator="lessThan">
      <formula>0</formula>
    </cfRule>
  </conditionalFormatting>
  <conditionalFormatting sqref="D5">
    <cfRule type="duplicateValues" dxfId="4" priority="5"/>
  </conditionalFormatting>
  <conditionalFormatting sqref="B5">
    <cfRule type="duplicateValues" dxfId="3" priority="4"/>
  </conditionalFormatting>
  <conditionalFormatting sqref="D5">
    <cfRule type="duplicateValues" dxfId="2" priority="3"/>
  </conditionalFormatting>
  <conditionalFormatting sqref="B5">
    <cfRule type="duplicateValues" dxfId="1" priority="2"/>
  </conditionalFormatting>
  <conditionalFormatting sqref="D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ALWADANI, ALANOUD</dc:creator>
  <cp:lastModifiedBy>ALWADANI, ALANOUD</cp:lastModifiedBy>
  <dcterms:created xsi:type="dcterms:W3CDTF">2025-04-07T10:56:07Z</dcterms:created>
  <dcterms:modified xsi:type="dcterms:W3CDTF">2025-04-07T10:57:52Z</dcterms:modified>
</cp:coreProperties>
</file>